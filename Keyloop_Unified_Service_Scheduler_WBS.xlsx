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5c7897047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dfbb65493404e4a"/>
    <x:sheet xmlns:r="http://schemas.openxmlformats.org/officeDocument/2006/relationships" name="WBS" sheetId="2" r:id="R9acdd575680d49d9"/>
    <x:sheet xmlns:r="http://schemas.openxmlformats.org/officeDocument/2006/relationships" name="Task Backlog" sheetId="3" r:id="R3155150182bf45a0"/>
    <x:sheet xmlns:r="http://schemas.openxmlformats.org/officeDocument/2006/relationships" name="7-Day Plan" sheetId="4" r:id="R919f30ab74414091"/>
    <x:sheet xmlns:r="http://schemas.openxmlformats.org/officeDocument/2006/relationships" name="Req Traceability" sheetId="5" r:id="Recf583b2241249bc"/>
    <x:sheet xmlns:r="http://schemas.openxmlformats.org/officeDocument/2006/relationships" name="Test Matrix" sheetId="6" r:id="Rcfefc85df7d34345"/>
    <x:sheet xmlns:r="http://schemas.openxmlformats.org/officeDocument/2006/relationships" name="Lists" sheetId="7" r:id="R10f7e4fc8e09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7">
    <x:font>
      <x:sz val="11"/>
      <x:name val="Carlito"/>
    </x:font>
    <x:font>
      <x:b/>
      <x:sz val="10"/>
      <x:color rgb="FFFFFFFF"/>
      <x:name val="Carlito"/>
    </x:font>
    <x:font>
      <x:sz val="9"/>
      <x:color rgb="FF243746"/>
      <x:name val="Carlito"/>
    </x:font>
    <x:font>
      <x:b/>
      <x:sz val="18"/>
      <x:color rgb="FFFFFFFF"/>
      <x:name val="Carlito"/>
    </x:font>
    <x:font>
      <x:b/>
      <x:sz val="11"/>
      <x:color rgb="FF1F4E78"/>
      <x:name val="Carlito"/>
    </x:font>
    <x:font>
      <x:b/>
      <x:sz val="22"/>
      <x:color rgb="FF1F4E78"/>
      <x:name val="Carlito"/>
    </x:font>
    <x:font>
      <x:i/>
      <x:sz val="9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11">
    <x:border/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</x:border>
    <x:border>
      <x:left style="thin">
        <x:color rgb="FF5B9BD5"/>
      </x:left>
      <x:top style="thin">
        <x:color rgb="FF5B9BD5"/>
      </x:top>
      <x:bottom style="thin">
        <x:color rgb="FF5B9BD5"/>
      </x:bottom>
    </x:border>
    <x:border>
      <x:right style="thin">
        <x:color rgb="FF5B9BD5"/>
      </x:right>
      <x:top style="thin">
        <x:color rgb="FF5B9BD5"/>
      </x:top>
      <x:bottom style="thin">
        <x:color rgb="FF5B9BD5"/>
      </x:bottom>
    </x:border>
    <x:border>
      <x:left style="thin">
        <x:color rgb="FF5B9BD5"/>
      </x:left>
      <x:top style="thin">
        <x:color rgb="FF5B9BD5"/>
      </x:top>
    </x:border>
    <x:border>
      <x:right style="thin">
        <x:color rgb="FF5B9BD5"/>
      </x:right>
      <x:top style="thin">
        <x:color rgb="FF5B9BD5"/>
      </x:top>
    </x:border>
    <x:border>
      <x:left style="thin">
        <x:color rgb="FF5B9BD5"/>
      </x:left>
      <x:bottom style="thin">
        <x:color rgb="FF5B9BD5"/>
      </x:bottom>
    </x:border>
    <x:border>
      <x:right style="thin">
        <x:color rgb="FF5B9BD5"/>
      </x:right>
      <x:bottom style="thin">
        <x:color rgb="FF5B9BD5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5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7" xfId="0" applyNumberFormat="1" applyFont="1" applyFill="1" applyBorder="1" applyAlignment="1">
      <x:alignment horizontal="center"/>
    </x:xf>
    <x:xf numFmtId="0" fontId="5" fillId="4" borderId="8" xfId="0" applyNumberFormat="1" applyFont="1" applyFill="1" applyBorder="1" applyAlignment="1">
      <x:alignment horizontal="center"/>
    </x:xf>
    <x:xf numFmtId="0" fontId="5" fillId="4" borderId="9" xfId="0" applyNumberFormat="1" applyFont="1" applyFill="1" applyBorder="1" applyAlignment="1">
      <x:alignment horizontal="center"/>
    </x:xf>
    <x:xf numFmtId="0" fontId="5" fillId="4" borderId="10" xfId="0" applyNumberFormat="1" applyFont="1" applyFill="1" applyBorder="1" applyAlignment="1">
      <x:alignment horizontal="center"/>
    </x:xf>
    <x:xf numFmtId="0" fontId="5" fillId="4" borderId="7" xfId="0" applyNumberFormat="1" applyFont="1" applyFill="1" applyBorder="1" applyAlignment="1">
      <x:alignment horizontal="center" vertical="center"/>
    </x:xf>
    <x:xf numFmtId="0" fontId="5" fillId="4" borderId="8" xfId="0" applyNumberFormat="1" applyFont="1" applyFill="1" applyBorder="1" applyAlignment="1">
      <x:alignment horizontal="center" vertical="center"/>
    </x:xf>
    <x:xf numFmtId="0" fontId="5" fillId="4" borderId="9" xfId="0" applyNumberFormat="1" applyFont="1" applyFill="1" applyBorder="1" applyAlignment="1">
      <x:alignment horizontal="center" vertical="center"/>
    </x:xf>
    <x:xf numFmtId="0" fontId="5" fillId="4" borderId="10" xfId="0" applyNumberFormat="1" applyFont="1" applyFill="1" applyBorder="1" applyAlignment="1">
      <x:alignment horizontal="center" vertical="center"/>
    </x:xf>
    <x:xf numFmtId="201" fontId="0" fillId="4" borderId="0" xfId="0" applyNumberFormat="1" applyFont="1" applyFill="1" applyBorder="1"/>
    <x:xf numFmtId="201" fontId="5" fillId="4" borderId="0" xfId="0" applyNumberFormat="1" applyFont="1" applyFill="1" applyBorder="1"/>
    <x:xf numFmtId="201" fontId="5" fillId="4" borderId="7" xfId="0" applyNumberFormat="1" applyFont="1" applyFill="1" applyBorder="1"/>
    <x:xf numFmtId="201" fontId="5" fillId="4" borderId="7" xfId="0" applyNumberFormat="1" applyFont="1" applyFill="1" applyBorder="1" applyAlignment="1">
      <x:alignment horizontal="center"/>
    </x:xf>
    <x:xf numFmtId="201" fontId="5" fillId="4" borderId="7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37f47d94594ed8" /><Relationship Type="http://schemas.openxmlformats.org/officeDocument/2006/relationships/theme" Target="/xl/theme/theme1.xml" Id="R704338e9d3034ad2" /><Relationship Type="http://schemas.openxmlformats.org/officeDocument/2006/relationships/sharedStrings" Target="/xl/sharedStrings.xml" Id="R9712487614954be8" /><Relationship Type="http://schemas.openxmlformats.org/officeDocument/2006/relationships/worksheet" Target="/xl/worksheets/sheet1.xml" Id="R2dfbb65493404e4a" /><Relationship Type="http://schemas.openxmlformats.org/officeDocument/2006/relationships/worksheet" Target="/xl/worksheets/sheet2.xml" Id="R9acdd575680d49d9" /><Relationship Type="http://schemas.openxmlformats.org/officeDocument/2006/relationships/worksheet" Target="/xl/worksheets/sheet3.xml" Id="R3155150182bf45a0" /><Relationship Type="http://schemas.openxmlformats.org/officeDocument/2006/relationships/worksheet" Target="/xl/worksheets/sheet4.xml" Id="R919f30ab74414091" /><Relationship Type="http://schemas.openxmlformats.org/officeDocument/2006/relationships/worksheet" Target="/xl/worksheets/sheet5.xml" Id="Recf583b2241249bc" /><Relationship Type="http://schemas.openxmlformats.org/officeDocument/2006/relationships/worksheet" Target="/xl/worksheets/sheet6.xml" Id="Rcfefc85df7d34345" /><Relationship Type="http://schemas.openxmlformats.org/officeDocument/2006/relationships/worksheet" Target="/xl/worksheets/sheet7.xml" Id="R10f7e4fc8e094b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0" hidden="0" customWidth="1"/>
    <x:col min="4" max="4" width="46" hidden="0" customWidth="1"/>
    <x:col min="5" max="5" width="4" hidden="0" customWidth="1"/>
    <x:col min="6" max="6" width="16" hidden="0" customWidth="1"/>
    <x:col min="7" max="7" width="12" hidden="0" customWidth="1"/>
    <x:col min="8" max="8" width="12" hidden="0" customWidth="1"/>
  </x:cols>
  <x:sheetData>
    <x:row r="1">
      <x:c r="A1" s="22" t="str">
        <x:v>UNIFIED SERVICE SCHEDULER — DELIVERY DASHBOARD</x:v>
      </x:c>
      <x:c r="B1" s="22"/>
      <x:c r="C1" s="22"/>
      <x:c r="D1" s="22"/>
      <x:c r="E1" s="22"/>
      <x:c r="F1" s="22"/>
      <x:c r="G1" s="22"/>
      <x:c r="H1" s="22"/>
    </x:row>
    <x:row r="2">
      <x:c r="A2" s="22"/>
      <x:c r="B2" s="22"/>
      <x:c r="C2" s="22"/>
      <x:c r="D2" s="22"/>
      <x:c r="E2" s="22"/>
      <x:c r="F2" s="22"/>
      <x:c r="G2" s="22"/>
      <x:c r="H2" s="22"/>
    </x:row>
    <x:row r="3"/>
    <x:row r="4" ht="15" hidden="0" customHeight="1">
      <x:c r="A4" s="29" t="str">
        <x:v>PLANNED HOURS</x:v>
      </x:c>
      <x:c r="B4" s="30"/>
      <x:c r="D4" s="29" t="str">
        <x:v>COMPLETED HOURS</x:v>
      </x:c>
      <x:c r="E4" s="30"/>
      <x:c r="G4" s="29" t="str">
        <x:v>PROGRESS</x:v>
      </x:c>
      <x:c r="H4" s="30"/>
    </x:row>
    <x:row r="5">
      <x:c r="A5" s="42" t="n">
        <x:f>SUM('Task Backlog'!F2:F41)</x:f>
        <x:v>28</x:v>
      </x:c>
      <x:c r="B5" s="43"/>
      <x:c r="D5" s="42" t="n">
        <x:f>SUMIF('Task Backlog'!H2:H41,"Done",'Task Backlog'!F2:F41)</x:f>
        <x:v>0</x:v>
      </x:c>
      <x:c r="E5" s="43"/>
      <x:c r="G5" s="50" t="n">
        <x:f>IFERROR(D5/A5,0)</x:f>
        <x:v>0</x:v>
      </x:c>
      <x:c r="H5" s="43"/>
    </x:row>
    <x:row r="6">
      <x:c r="A6" s="44"/>
      <x:c r="B6" s="45"/>
      <x:c r="D6" s="44"/>
      <x:c r="E6" s="45"/>
      <x:c r="G6" s="44"/>
      <x:c r="H6" s="45"/>
    </x:row>
    <x:row r="7"/>
    <x:row r="8" ht="15" hidden="0" customHeight="1">
      <x:c r="A8" s="51" t="str">
        <x:v>WORK PACKAGE SUMMARY</x:v>
      </x:c>
      <x:c r="B8" s="51"/>
      <x:c r="C8" s="51"/>
      <x:c r="D8" s="51"/>
      <x:c r="E8" s="51"/>
      <x:c r="F8" s="51"/>
      <x:c r="G8" s="51"/>
      <x:c r="H8" s="51"/>
    </x:row>
    <x:row r="9" ht="15" hidden="0" customHeight="1">
      <x:c r="A9" s="6" t="str">
        <x:v>WBS</x:v>
      </x:c>
      <x:c r="B9" s="6" t="str">
        <x:v>Work Package</x:v>
      </x:c>
      <x:c r="C9" s="6" t="str">
        <x:v>Hours</x:v>
      </x:c>
      <x:c r="D9" s="6" t="str">
        <x:v>Outcome</x:v>
      </x:c>
      <x:c r="F9" s="6" t="str">
        <x:v>Status</x:v>
      </x:c>
      <x:c r="G9" s="6" t="str">
        <x:v>Task Count</x:v>
      </x:c>
      <x:c r="H9" s="6" t="str">
        <x:v>Hours</x:v>
      </x:c>
    </x:row>
    <x:row r="10" ht="15" hidden="0" customHeight="1">
      <x:c r="A10" s="14" t="str">
        <x:v>1.0</x:v>
      </x:c>
      <x:c r="B10" s="14" t="str">
        <x:v>Requirement Analysis &amp; System Design</x:v>
      </x:c>
      <x:c r="C10" s="14" t="n">
        <x:v>4</x:v>
      </x:c>
      <x:c r="D10" s="14" t="str">
        <x:v>Design baseline approved</x:v>
      </x:c>
      <x:c r="F10" s="14" t="str">
        <x:v>Not Started</x:v>
      </x:c>
      <x:c r="G10" s="14" t="n">
        <x:f>COUNTIF('Task Backlog'!H2:H41,F10)</x:f>
        <x:v>40</x:v>
      </x:c>
      <x:c r="H10" s="14" t="n">
        <x:f>SUMIF('Task Backlog'!H2:H41,F10,'Task Backlog'!F2:F41)</x:f>
        <x:v>28</x:v>
      </x:c>
    </x:row>
    <x:row r="11" ht="15" hidden="0" customHeight="1">
      <x:c r="A11" s="15" t="str">
        <x:v>2.0</x:v>
      </x:c>
      <x:c r="B11" s="15" t="str">
        <x:v>Project Setup &amp; Data Model</x:v>
      </x:c>
      <x:c r="C11" s="15" t="n">
        <x:v>4</x:v>
      </x:c>
      <x:c r="D11" s="15" t="str">
        <x:v>Reproducible application and seeded database</x:v>
      </x:c>
      <x:c r="F11" s="15" t="str">
        <x:v>In Progress</x:v>
      </x:c>
      <x:c r="G11" s="15" t="n">
        <x:f>COUNTIF('Task Backlog'!H2:H41,F11)</x:f>
        <x:v>0</x:v>
      </x:c>
      <x:c r="H11" s="15" t="n">
        <x:f>SUMIF('Task Backlog'!H2:H41,F11,'Task Backlog'!F2:F41)</x:f>
        <x:v>0</x:v>
      </x:c>
    </x:row>
    <x:row r="12" ht="15" hidden="0" customHeight="1">
      <x:c r="A12" s="15" t="str">
        <x:v>3.0</x:v>
      </x:c>
      <x:c r="B12" s="15" t="str">
        <x:v>Availability Core</x:v>
      </x:c>
      <x:c r="C12" s="15" t="n">
        <x:v>4</x:v>
      </x:c>
      <x:c r="D12" s="15" t="str">
        <x:v>Availability endpoint and reusable rules</x:v>
      </x:c>
      <x:c r="F12" s="15" t="str">
        <x:v>Blocked</x:v>
      </x:c>
      <x:c r="G12" s="15" t="n">
        <x:f>COUNTIF('Task Backlog'!H2:H41,F12)</x:f>
        <x:v>0</x:v>
      </x:c>
      <x:c r="H12" s="15" t="n">
        <x:f>SUMIF('Task Backlog'!H2:H41,F12,'Task Backlog'!F2:F41)</x:f>
        <x:v>0</x:v>
      </x:c>
    </x:row>
    <x:row r="13" ht="15" hidden="0" customHeight="1">
      <x:c r="A13" s="15" t="str">
        <x:v>4.0</x:v>
      </x:c>
      <x:c r="B13" s="15" t="str">
        <x:v>Appointment &amp; Concurrency Core</x:v>
      </x:c>
      <x:c r="C13" s="15" t="n">
        <x:v>4</x:v>
      </x:c>
      <x:c r="D13" s="15" t="str">
        <x:v>Atomic confirmed appointment</x:v>
      </x:c>
      <x:c r="F13" s="16" t="str">
        <x:v>Done</x:v>
      </x:c>
      <x:c r="G13" s="16" t="n">
        <x:f>COUNTIF('Task Backlog'!H2:H41,F13)</x:f>
        <x:v>0</x:v>
      </x:c>
      <x:c r="H13" s="16" t="n">
        <x:f>SUMIF('Task Backlog'!H2:H41,F13,'Task Backlog'!F2:F41)</x:f>
        <x:v>0</x:v>
      </x:c>
    </x:row>
    <x:row r="14" ht="15" hidden="0" customHeight="1">
      <x:c r="A14" s="15" t="str">
        <x:v>5.0</x:v>
      </x:c>
      <x:c r="B14" s="15" t="str">
        <x:v>Reliability &amp; Observability</x:v>
      </x:c>
      <x:c r="C14" s="15" t="n">
        <x:v>4</x:v>
      </x:c>
      <x:c r="D14" s="15" t="str">
        <x:v>Retry safety and operational signals</x:v>
      </x:c>
    </x:row>
    <x:row r="15" ht="15" hidden="0" customHeight="1">
      <x:c r="A15" s="15" t="str">
        <x:v>6.0</x:v>
      </x:c>
      <x:c r="B15" s="15" t="str">
        <x:v>Tests, Contract &amp; CI</x:v>
      </x:c>
      <x:c r="C15" s="15" t="n">
        <x:v>4</x:v>
      </x:c>
      <x:c r="D15" s="15" t="str">
        <x:v>Verified behavior and executable client stub</x:v>
      </x:c>
    </x:row>
    <x:row r="16" ht="15" hidden="0" customHeight="1">
      <x:c r="A16" s="16" t="str">
        <x:v>7.0</x:v>
      </x:c>
      <x:c r="B16" s="16" t="str">
        <x:v>Documentation &amp; Submission</x:v>
      </x:c>
      <x:c r="C16" s="16" t="n">
        <x:v>4</x:v>
      </x:c>
      <x:c r="D16" s="16" t="str">
        <x:v>Complete submission package</x:v>
      </x:c>
    </x:row>
    <x:row r="17"/>
    <x:row r="18" ht="15" hidden="0" customHeight="1">
      <x:c r="A18" s="55" t="str">
        <x:v>USAGE: update Status in Task Backlog; dashboard formulas update automatically. Filter by category, priority or dependency during daily review.</x:v>
      </x:c>
      <x:c r="B18" s="55"/>
      <x:c r="C18" s="55"/>
      <x:c r="D18" s="55"/>
      <x:c r="E18" s="55"/>
      <x:c r="F18" s="55"/>
      <x:c r="G18" s="55"/>
      <x:c r="H18" s="55"/>
    </x:row>
  </x:sheetData>
  <x:mergeCells>
    <x:mergeCell ref="A1:H2"/>
    <x:mergeCell ref="A4:B4"/>
    <x:mergeCell ref="D4:E4"/>
    <x:mergeCell ref="G4:H4"/>
    <x:mergeCell ref="A5:B6"/>
    <x:mergeCell ref="D5:E6"/>
    <x:mergeCell ref="G5:H6"/>
    <x:mergeCell ref="A8:H8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6" hidden="0" customWidth="1"/>
    <x:col min="3" max="3" width="16" hidden="0" customWidth="1"/>
    <x:col min="4" max="4" width="55" hidden="0" customWidth="1"/>
  </x:cols>
  <x:sheetData>
    <x:row r="1" ht="15" hidden="0" customHeight="1">
      <x:c r="A1" s="6" t="str">
        <x:v>WBS</x:v>
      </x:c>
      <x:c r="B1" s="6" t="str">
        <x:v>Work Package</x:v>
      </x:c>
      <x:c r="C1" s="6" t="str">
        <x:v>Planned Hours</x:v>
      </x:c>
      <x:c r="D1" s="6" t="str">
        <x:v>Primary Outcome</x:v>
      </x:c>
    </x:row>
    <x:row r="2" ht="15" hidden="0" customHeight="1">
      <x:c r="A2" s="14" t="str">
        <x:v>1.0</x:v>
      </x:c>
      <x:c r="B2" s="14" t="str">
        <x:v>Requirement Analysis &amp; System Design</x:v>
      </x:c>
      <x:c r="C2" s="17" t="n">
        <x:v>4</x:v>
      </x:c>
      <x:c r="D2" s="14" t="str">
        <x:v>Design baseline approved</x:v>
      </x:c>
    </x:row>
    <x:row r="3" ht="15" hidden="0" customHeight="1">
      <x:c r="A3" s="15" t="str">
        <x:v>2.0</x:v>
      </x:c>
      <x:c r="B3" s="15" t="str">
        <x:v>Project Setup &amp; Data Model</x:v>
      </x:c>
      <x:c r="C3" s="18" t="n">
        <x:v>4</x:v>
      </x:c>
      <x:c r="D3" s="15" t="str">
        <x:v>Reproducible application and seeded database</x:v>
      </x:c>
    </x:row>
    <x:row r="4" ht="15" hidden="0" customHeight="1">
      <x:c r="A4" s="15" t="str">
        <x:v>3.0</x:v>
      </x:c>
      <x:c r="B4" s="15" t="str">
        <x:v>Availability Core</x:v>
      </x:c>
      <x:c r="C4" s="18" t="n">
        <x:v>4</x:v>
      </x:c>
      <x:c r="D4" s="15" t="str">
        <x:v>Availability endpoint and reusable rules</x:v>
      </x:c>
    </x:row>
    <x:row r="5" ht="15" hidden="0" customHeight="1">
      <x:c r="A5" s="15" t="str">
        <x:v>4.0</x:v>
      </x:c>
      <x:c r="B5" s="15" t="str">
        <x:v>Appointment &amp; Concurrency Core</x:v>
      </x:c>
      <x:c r="C5" s="18" t="n">
        <x:v>4</x:v>
      </x:c>
      <x:c r="D5" s="15" t="str">
        <x:v>Atomic confirmed appointment</x:v>
      </x:c>
    </x:row>
    <x:row r="6" ht="15" hidden="0" customHeight="1">
      <x:c r="A6" s="15" t="str">
        <x:v>5.0</x:v>
      </x:c>
      <x:c r="B6" s="15" t="str">
        <x:v>Reliability &amp; Observability</x:v>
      </x:c>
      <x:c r="C6" s="18" t="n">
        <x:v>4</x:v>
      </x:c>
      <x:c r="D6" s="15" t="str">
        <x:v>Retry safety and operational signals</x:v>
      </x:c>
    </x:row>
    <x:row r="7" ht="15" hidden="0" customHeight="1">
      <x:c r="A7" s="15" t="str">
        <x:v>6.0</x:v>
      </x:c>
      <x:c r="B7" s="15" t="str">
        <x:v>Tests, Contract &amp; CI</x:v>
      </x:c>
      <x:c r="C7" s="18" t="n">
        <x:v>4</x:v>
      </x:c>
      <x:c r="D7" s="15" t="str">
        <x:v>Verified behavior and executable client stub</x:v>
      </x:c>
    </x:row>
    <x:row r="8" ht="15" hidden="0" customHeight="1">
      <x:c r="A8" s="16" t="str">
        <x:v>7.0</x:v>
      </x:c>
      <x:c r="B8" s="16" t="str">
        <x:v>Documentation &amp; Submission</x:v>
      </x:c>
      <x:c r="C8" s="19" t="n">
        <x:v>4</x:v>
      </x:c>
      <x:c r="D8" s="16" t="str">
        <x:v>Complete submission package</x:v>
      </x:c>
    </x:row>
    <x:row r="9"/>
    <x:row r="10" ht="15" hidden="0" customHeight="1">
      <x:c r="A10" s="6" t="str">
        <x:v>Summary</x:v>
      </x:c>
      <x:c r="B10" s="6" t="str">
        <x:v>Formula</x:v>
      </x:c>
    </x:row>
    <x:row r="11" ht="21.600000381469727" hidden="0" customHeight="1">
      <x:c r="A11" s="14" t="str">
        <x:v>Total planned hours</x:v>
      </x:c>
      <x:c r="B11" s="14" t="n">
        <x:f>SUM(C2:C8)</x:f>
        <x:v>28</x:v>
      </x:c>
    </x:row>
    <x:row r="12" ht="15" hidden="0" customHeight="1">
      <x:c r="A12" s="16" t="str">
        <x:v>Work packages</x:v>
      </x:c>
      <x:c r="B12" s="16" t="n">
        <x:f>COUNTA(A2:A8)</x:f>
        <x:v>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28" hidden="0" customWidth="1"/>
    <x:col min="4" max="4" width="52" hidden="0" customWidth="1"/>
    <x:col min="5" max="5" width="17" hidden="0" customWidth="1"/>
    <x:col min="6" max="6" width="9" hidden="0" customWidth="1"/>
    <x:col min="7" max="7" width="10" hidden="0" customWidth="1"/>
    <x:col min="8" max="8" width="14" hidden="0" customWidth="1"/>
    <x:col min="9" max="9" width="22" hidden="0" customWidth="1"/>
    <x:col min="10" max="10" width="48" hidden="0" customWidth="1"/>
  </x:cols>
  <x:sheetData>
    <x:row r="1" ht="15" hidden="0" customHeight="1">
      <x:c r="A1" s="6" t="str">
        <x:v>Task ID</x:v>
      </x:c>
      <x:c r="B1" s="6" t="str">
        <x:v>WBS</x:v>
      </x:c>
      <x:c r="C1" s="6" t="str">
        <x:v>Task</x:v>
      </x:c>
      <x:c r="D1" s="6" t="str">
        <x:v>Description</x:v>
      </x:c>
      <x:c r="E1" s="6" t="str">
        <x:v>Category</x:v>
      </x:c>
      <x:c r="F1" s="6" t="str">
        <x:v>Hours</x:v>
      </x:c>
      <x:c r="G1" s="6" t="str">
        <x:v>Priority</x:v>
      </x:c>
      <x:c r="H1" s="6" t="str">
        <x:v>Status</x:v>
      </x:c>
      <x:c r="I1" s="6" t="str">
        <x:v>Dependencies</x:v>
      </x:c>
      <x:c r="J1" s="6" t="str">
        <x:v>Definition of Done</x:v>
      </x:c>
    </x:row>
    <x:row r="2" ht="21.600000381469727" hidden="0" customHeight="1">
      <x:c r="A2" s="14" t="str">
        <x:v>TASK-001</x:v>
      </x:c>
      <x:c r="B2" s="14" t="str">
        <x:v>1.1</x:v>
      </x:c>
      <x:c r="C2" s="14" t="str">
        <x:v>Requirement mapping</x:v>
      </x:c>
      <x:c r="D2" s="14" t="str">
        <x:v>Rewrite the challenge into testable backend requirements and map each requirement to evidence.</x:v>
      </x:c>
      <x:c r="E2" s="14" t="str">
        <x:v>Design</x:v>
      </x:c>
      <x:c r="F2" s="17" t="n">
        <x:v>0.5</x:v>
      </x:c>
      <x:c r="G2" s="14" t="str">
        <x:v>Must</x:v>
      </x:c>
      <x:c r="H2" s="14" t="str">
        <x:v>Not Started</x:v>
      </x:c>
      <x:c r="I2" s="14" t="str">
        <x:v>None</x:v>
      </x:c>
      <x:c r="J2" s="14" t="str">
        <x:v>Requirement map reviewed; each acceptance criterion links to an endpoint and test.</x:v>
      </x:c>
    </x:row>
    <x:row r="3" ht="15" hidden="0" customHeight="1">
      <x:c r="A3" s="15" t="str">
        <x:v>TASK-002</x:v>
      </x:c>
      <x:c r="B3" s="15" t="str">
        <x:v>1.2</x:v>
      </x:c>
      <x:c r="C3" s="15" t="str">
        <x:v>Scope, assumptions and non-goals</x:v>
      </x:c>
      <x:c r="D3" s="15" t="str">
        <x:v>Record MVP boundary, unresolved business rules and explicit exclusions.</x:v>
      </x:c>
      <x:c r="E3" s="15" t="str">
        <x:v>Design</x:v>
      </x:c>
      <x:c r="F3" s="18" t="n">
        <x:v>0.5</x:v>
      </x:c>
      <x:c r="G3" s="15" t="str">
        <x:v>Must</x:v>
      </x:c>
      <x:c r="H3" s="15" t="str">
        <x:v>Not Started</x:v>
      </x:c>
      <x:c r="I3" s="15" t="str">
        <x:v>TASK-001</x:v>
      </x:c>
      <x:c r="J3" s="15" t="str">
        <x:v>Scope is implementable within 28 hours and no assumption is hidden.</x:v>
      </x:c>
    </x:row>
    <x:row r="4" ht="15" hidden="0" customHeight="1">
      <x:c r="A4" s="15" t="str">
        <x:v>TASK-003</x:v>
      </x:c>
      <x:c r="B4" s="15" t="str">
        <x:v>1.3</x:v>
      </x:c>
      <x:c r="C4" s="15" t="str">
        <x:v>Invariants and failure modes</x:v>
      </x:c>
      <x:c r="D4" s="15" t="str">
        <x:v>Define ownership, qualification, overlap, atomicity, retry and timezone rules.</x:v>
      </x:c>
      <x:c r="E4" s="15" t="str">
        <x:v>Design</x:v>
      </x:c>
      <x:c r="F4" s="18" t="n">
        <x:v>0.75</x:v>
      </x:c>
      <x:c r="G4" s="15" t="str">
        <x:v>Must</x:v>
      </x:c>
      <x:c r="H4" s="15" t="str">
        <x:v>Not Started</x:v>
      </x:c>
      <x:c r="I4" s="15" t="str">
        <x:v>TASK-002</x:v>
      </x:c>
      <x:c r="J4" s="15" t="str">
        <x:v>Invariants and expected failures are listed with handling decisions.</x:v>
      </x:c>
    </x:row>
    <x:row r="5" ht="15" hidden="0" customHeight="1">
      <x:c r="A5" s="15" t="str">
        <x:v>TASK-004</x:v>
      </x:c>
      <x:c r="B5" s="15" t="str">
        <x:v>1.4</x:v>
      </x:c>
      <x:c r="C5" s="15" t="str">
        <x:v>Architecture and components</x:v>
      </x:c>
      <x:c r="D5" s="15" t="str">
        <x:v>Choose modular monolith/layered design and describe every component responsibility.</x:v>
      </x:c>
      <x:c r="E5" s="15" t="str">
        <x:v>Design</x:v>
      </x:c>
      <x:c r="F5" s="18" t="n">
        <x:v>0.75</x:v>
      </x:c>
      <x:c r="G5" s="15" t="str">
        <x:v>Must</x:v>
      </x:c>
      <x:c r="H5" s="15" t="str">
        <x:v>Not Started</x:v>
      </x:c>
      <x:c r="I5" s="15" t="str">
        <x:v>TASK-002</x:v>
      </x:c>
      <x:c r="J5" s="15" t="str">
        <x:v>Architecture diagram and component table match intended code.</x:v>
      </x:c>
    </x:row>
    <x:row r="6" ht="15" hidden="0" customHeight="1">
      <x:c r="A6" s="15" t="str">
        <x:v>TASK-005</x:v>
      </x:c>
      <x:c r="B6" s="15" t="str">
        <x:v>1.5</x:v>
      </x:c>
      <x:c r="C6" s="15" t="str">
        <x:v>ERD and database decisions</x:v>
      </x:c>
      <x:c r="D6" s="15" t="str">
        <x:v>Design entities, keys, status, indexes and idempotency storage.</x:v>
      </x:c>
      <x:c r="E6" s="15" t="str">
        <x:v>Design</x:v>
      </x:c>
      <x:c r="F6" s="18" t="n">
        <x:v>0.75</x:v>
      </x:c>
      <x:c r="G6" s="15" t="str">
        <x:v>Must</x:v>
      </x:c>
      <x:c r="H6" s="15" t="str">
        <x:v>Not Started</x:v>
      </x:c>
      <x:c r="I6" s="15" t="str">
        <x:v>TASK-003</x:v>
      </x:c>
      <x:c r="J6" s="15" t="str">
        <x:v>ERD supports all acceptance criteria and availability queries.</x:v>
      </x:c>
    </x:row>
    <x:row r="7" ht="15" hidden="0" customHeight="1">
      <x:c r="A7" s="15" t="str">
        <x:v>TASK-006</x:v>
      </x:c>
      <x:c r="B7" s="15" t="str">
        <x:v>1.6</x:v>
      </x:c>
      <x:c r="C7" s="15" t="str">
        <x:v>Initial API contract</x:v>
      </x:c>
      <x:c r="D7" s="15" t="str">
        <x:v>Define endpoints, payloads, status codes and common response format.</x:v>
      </x:c>
      <x:c r="E7" s="15" t="str">
        <x:v>Design</x:v>
      </x:c>
      <x:c r="F7" s="18" t="n">
        <x:v>0.5</x:v>
      </x:c>
      <x:c r="G7" s="15" t="str">
        <x:v>Must</x:v>
      </x:c>
      <x:c r="H7" s="15" t="str">
        <x:v>Not Started</x:v>
      </x:c>
      <x:c r="I7" s="15" t="str">
        <x:v>TASK-003</x:v>
      </x:c>
      <x:c r="J7" s="15" t="str">
        <x:v>Request/response examples cover success and major failures.</x:v>
      </x:c>
    </x:row>
    <x:row r="8" ht="15" hidden="0" customHeight="1">
      <x:c r="A8" s="15" t="str">
        <x:v>TASK-007</x:v>
      </x:c>
      <x:c r="B8" s="15" t="str">
        <x:v>1.7</x:v>
      </x:c>
      <x:c r="C8" s="15" t="str">
        <x:v>GenAI design decision log</x:v>
      </x:c>
      <x:c r="D8" s="15" t="str">
        <x:v>Record AI proposal, human decision and verification method.</x:v>
      </x:c>
      <x:c r="E8" s="15" t="str">
        <x:v>Documentation</x:v>
      </x:c>
      <x:c r="F8" s="18" t="n">
        <x:v>0.25</x:v>
      </x:c>
      <x:c r="G8" s="15" t="str">
        <x:v>Should</x:v>
      </x:c>
      <x:c r="H8" s="15" t="str">
        <x:v>Not Started</x:v>
      </x:c>
      <x:c r="I8" s="15" t="str">
        <x:v>TASK-001</x:v>
      </x:c>
      <x:c r="J8" s="15" t="str">
        <x:v>At least three meaningful design decisions are traceable.</x:v>
      </x:c>
    </x:row>
    <x:row r="9" ht="15" hidden="0" customHeight="1">
      <x:c r="A9" s="15" t="str">
        <x:v>TASK-008</x:v>
      </x:c>
      <x:c r="B9" s="15" t="str">
        <x:v>2.1</x:v>
      </x:c>
      <x:c r="C9" s="15" t="str">
        <x:v>Laravel 11 project setup</x:v>
      </x:c>
      <x:c r="D9" s="15" t="str">
        <x:v>Initialize PHP 8.3 application, configuration and test environment.</x:v>
      </x:c>
      <x:c r="E9" s="15" t="str">
        <x:v>Setup</x:v>
      </x:c>
      <x:c r="F9" s="18" t="n">
        <x:v>0.75</x:v>
      </x:c>
      <x:c r="G9" s="15" t="str">
        <x:v>Must</x:v>
      </x:c>
      <x:c r="H9" s="15" t="str">
        <x:v>Not Started</x:v>
      </x:c>
      <x:c r="I9" s="15" t="str">
        <x:v>TASK-006</x:v>
      </x:c>
      <x:c r="J9" s="15" t="str">
        <x:v>artisan about and empty test suite run successfully.</x:v>
      </x:c>
    </x:row>
    <x:row r="10" ht="15" hidden="0" customHeight="1">
      <x:c r="A10" s="15" t="str">
        <x:v>TASK-009</x:v>
      </x:c>
      <x:c r="B10" s="15" t="str">
        <x:v>2.2</x:v>
      </x:c>
      <x:c r="C10" s="15" t="str">
        <x:v>Docker Compose environment</x:v>
      </x:c>
      <x:c r="D10" s="15" t="str">
        <x:v>Configure app and PostgreSQL services with health checks.</x:v>
      </x:c>
      <x:c r="E10" s="15" t="str">
        <x:v>Setup</x:v>
      </x:c>
      <x:c r="F10" s="18" t="n">
        <x:v>0.75</x:v>
      </x:c>
      <x:c r="G10" s="15" t="str">
        <x:v>Should</x:v>
      </x:c>
      <x:c r="H10" s="15" t="str">
        <x:v>Not Started</x:v>
      </x:c>
      <x:c r="I10" s="15" t="str">
        <x:v>TASK-008</x:v>
      </x:c>
      <x:c r="J10" s="15" t="str">
        <x:v>Fresh Docker startup reaches healthy state.</x:v>
      </x:c>
    </x:row>
    <x:row r="11" ht="15" hidden="0" customHeight="1">
      <x:c r="A11" s="15" t="str">
        <x:v>TASK-010</x:v>
      </x:c>
      <x:c r="B11" s="15" t="str">
        <x:v>2.3</x:v>
      </x:c>
      <x:c r="C11" s="15" t="str">
        <x:v>Migrations, constraints and indexes</x:v>
      </x:c>
      <x:c r="D11" s="15" t="str">
        <x:v>Create all tables, foreign keys, unique constraints and booking indexes.</x:v>
      </x:c>
      <x:c r="E11" s="15" t="str">
        <x:v>Setup</x:v>
      </x:c>
      <x:c r="F11" s="18" t="n">
        <x:v>1</x:v>
      </x:c>
      <x:c r="G11" s="15" t="str">
        <x:v>Must</x:v>
      </x:c>
      <x:c r="H11" s="15" t="str">
        <x:v>Not Started</x:v>
      </x:c>
      <x:c r="I11" s="15" t="str">
        <x:v>TASK-005,TASK-008</x:v>
      </x:c>
      <x:c r="J11" s="15" t="str">
        <x:v>migrate:fresh succeeds and constraints reject invalid references.</x:v>
      </x:c>
    </x:row>
    <x:row r="12" ht="15" hidden="0" customHeight="1">
      <x:c r="A12" s="15" t="str">
        <x:v>TASK-011</x:v>
      </x:c>
      <x:c r="B12" s="15" t="str">
        <x:v>2.4</x:v>
      </x:c>
      <x:c r="C12" s="15" t="str">
        <x:v>Models and relationships</x:v>
      </x:c>
      <x:c r="D12" s="15" t="str">
        <x:v>Implement typed casts and Eloquent associations.</x:v>
      </x:c>
      <x:c r="E12" s="15" t="str">
        <x:v>Setup</x:v>
      </x:c>
      <x:c r="F12" s="18" t="n">
        <x:v>0.75</x:v>
      </x:c>
      <x:c r="G12" s="15" t="str">
        <x:v>Must</x:v>
      </x:c>
      <x:c r="H12" s="15" t="str">
        <x:v>Not Started</x:v>
      </x:c>
      <x:c r="I12" s="15" t="str">
        <x:v>TASK-010</x:v>
      </x:c>
      <x:c r="J12" s="15" t="str">
        <x:v>Relationships load correctly and status/time casts are explicit.</x:v>
      </x:c>
    </x:row>
    <x:row r="13" ht="15" hidden="0" customHeight="1">
      <x:c r="A13" s="15" t="str">
        <x:v>TASK-012</x:v>
      </x:c>
      <x:c r="B13" s="15" t="str">
        <x:v>2.5</x:v>
      </x:c>
      <x:c r="C13" s="15" t="str">
        <x:v>Factories and seeders</x:v>
      </x:c>
      <x:c r="D13" s="15" t="str">
        <x:v>Provide deterministic demo and test data.</x:v>
      </x:c>
      <x:c r="E13" s="15" t="str">
        <x:v>Setup</x:v>
      </x:c>
      <x:c r="F13" s="18" t="n">
        <x:v>0.75</x:v>
      </x:c>
      <x:c r="G13" s="15" t="str">
        <x:v>Must</x:v>
      </x:c>
      <x:c r="H13" s="15" t="str">
        <x:v>Not Started</x:v>
      </x:c>
      <x:c r="I13" s="15" t="str">
        <x:v>TASK-011</x:v>
      </x:c>
      <x:c r="J13" s="15" t="str">
        <x:v>migrate:fresh --seed produces a cURL-ready scenario.</x:v>
      </x:c>
    </x:row>
    <x:row r="14" ht="15" hidden="0" customHeight="1">
      <x:c r="A14" s="15" t="str">
        <x:v>TASK-013</x:v>
      </x:c>
      <x:c r="B14" s="15" t="str">
        <x:v>3.1</x:v>
      </x:c>
      <x:c r="C14" s="15" t="str">
        <x:v>TimeRange value object</x:v>
      </x:c>
      <x:c r="D14" s="15" t="str">
        <x:v>Implement interval validation, duration calculation and overlap semantics.</x:v>
      </x:c>
      <x:c r="E14" s="15" t="str">
        <x:v>Core</x:v>
      </x:c>
      <x:c r="F14" s="18" t="n">
        <x:v>0.75</x:v>
      </x:c>
      <x:c r="G14" s="15" t="str">
        <x:v>Must</x:v>
      </x:c>
      <x:c r="H14" s="15" t="str">
        <x:v>Not Started</x:v>
      </x:c>
      <x:c r="I14" s="15" t="str">
        <x:v>TASK-012</x:v>
      </x:c>
      <x:c r="J14" s="15" t="str">
        <x:v>Pure unit tests cover valid, invalid and boundary intervals.</x:v>
      </x:c>
    </x:row>
    <x:row r="15" ht="15" hidden="0" customHeight="1">
      <x:c r="A15" s="15" t="str">
        <x:v>TASK-014</x:v>
      </x:c>
      <x:c r="B15" s="15" t="str">
        <x:v>3.2</x:v>
      </x:c>
      <x:c r="C15" s="15" t="str">
        <x:v>Qualified technician query</x:v>
      </x:c>
      <x:c r="D15" s="15" t="str">
        <x:v>Find active, skilled, correct-dealership technicians without overlaps.</x:v>
      </x:c>
      <x:c r="E15" s="15" t="str">
        <x:v>Core</x:v>
      </x:c>
      <x:c r="F15" s="18" t="n">
        <x:v>1</x:v>
      </x:c>
      <x:c r="G15" s="15" t="str">
        <x:v>Must</x:v>
      </x:c>
      <x:c r="H15" s="15" t="str">
        <x:v>Not Started</x:v>
      </x:c>
      <x:c r="I15" s="15" t="str">
        <x:v>TASK-013</x:v>
      </x:c>
      <x:c r="J15" s="15" t="str">
        <x:v>Wrong dealership, skill and overlap cases are excluded.</x:v>
      </x:c>
    </x:row>
    <x:row r="16" ht="15" hidden="0" customHeight="1">
      <x:c r="A16" s="15" t="str">
        <x:v>TASK-015</x:v>
      </x:c>
      <x:c r="B16" s="15" t="str">
        <x:v>3.3</x:v>
      </x:c>
      <x:c r="C16" s="15" t="str">
        <x:v>Available service bay query</x:v>
      </x:c>
      <x:c r="D16" s="15" t="str">
        <x:v>Find active, correct-dealership bays without overlaps.</x:v>
      </x:c>
      <x:c r="E16" s="15" t="str">
        <x:v>Core</x:v>
      </x:c>
      <x:c r="F16" s="18" t="n">
        <x:v>0.75</x:v>
      </x:c>
      <x:c r="G16" s="15" t="str">
        <x:v>Must</x:v>
      </x:c>
      <x:c r="H16" s="15" t="str">
        <x:v>Not Started</x:v>
      </x:c>
      <x:c r="I16" s="15" t="str">
        <x:v>TASK-013</x:v>
      </x:c>
      <x:c r="J16" s="15" t="str">
        <x:v>Busy and wrong-dealership bays are excluded.</x:v>
      </x:c>
    </x:row>
    <x:row r="17" ht="15" hidden="0" customHeight="1">
      <x:c r="A17" s="15" t="str">
        <x:v>TASK-016</x:v>
      </x:c>
      <x:c r="B17" s="15" t="str">
        <x:v>3.4</x:v>
      </x:c>
      <x:c r="C17" s="15" t="str">
        <x:v>CheckAvailability action</x:v>
      </x:c>
      <x:c r="D17" s="15" t="str">
        <x:v>Calculate full period and combine resource availability results.</x:v>
      </x:c>
      <x:c r="E17" s="15" t="str">
        <x:v>Core</x:v>
      </x:c>
      <x:c r="F17" s="18" t="n">
        <x:v>1</x:v>
      </x:c>
      <x:c r="G17" s="15" t="str">
        <x:v>Must</x:v>
      </x:c>
      <x:c r="H17" s="15" t="str">
        <x:v>Not Started</x:v>
      </x:c>
      <x:c r="I17" s="15" t="str">
        <x:v>TASK-014,TASK-015</x:v>
      </x:c>
      <x:c r="J17" s="15" t="str">
        <x:v>Returns deterministic result without reserving resources.</x:v>
      </x:c>
    </x:row>
    <x:row r="18" ht="15" hidden="0" customHeight="1">
      <x:c r="A18" s="15" t="str">
        <x:v>TASK-017</x:v>
      </x:c>
      <x:c r="B18" s="15" t="str">
        <x:v>3.5</x:v>
      </x:c>
      <x:c r="C18" s="15" t="str">
        <x:v>Availability endpoint</x:v>
      </x:c>
      <x:c r="D18" s="15" t="str">
        <x:v>Validate input and expose advisory availability response.</x:v>
      </x:c>
      <x:c r="E18" s="15" t="str">
        <x:v>Core</x:v>
      </x:c>
      <x:c r="F18" s="18" t="n">
        <x:v>0.5</x:v>
      </x:c>
      <x:c r="G18" s="15" t="str">
        <x:v>Must</x:v>
      </x:c>
      <x:c r="H18" s="15" t="str">
        <x:v>Not Started</x:v>
      </x:c>
      <x:c r="I18" s="15" t="str">
        <x:v>TASK-016</x:v>
      </x:c>
      <x:c r="J18" s="15" t="str">
        <x:v>Endpoint returns 200 and documented response shape.</x:v>
      </x:c>
    </x:row>
    <x:row r="19" ht="15" hidden="0" customHeight="1">
      <x:c r="A19" s="15" t="str">
        <x:v>TASK-018</x:v>
      </x:c>
      <x:c r="B19" s="15" t="str">
        <x:v>4.1</x:v>
      </x:c>
      <x:c r="C19" s="15" t="str">
        <x:v>Store request and DTO</x:v>
      </x:c>
      <x:c r="D19" s="15" t="str">
        <x:v>Define validated request and immutable use-case input.</x:v>
      </x:c>
      <x:c r="E19" s="15" t="str">
        <x:v>Core</x:v>
      </x:c>
      <x:c r="F19" s="18" t="n">
        <x:v>0.5</x:v>
      </x:c>
      <x:c r="G19" s="15" t="str">
        <x:v>Must</x:v>
      </x:c>
      <x:c r="H19" s="15" t="str">
        <x:v>Not Started</x:v>
      </x:c>
      <x:c r="I19" s="15" t="str">
        <x:v>TASK-017</x:v>
      </x:c>
      <x:c r="J19" s="15" t="str">
        <x:v>Action receives no HTTP Request dependency.</x:v>
      </x:c>
    </x:row>
    <x:row r="20" ht="15" hidden="0" customHeight="1">
      <x:c r="A20" s="15" t="str">
        <x:v>TASK-019</x:v>
      </x:c>
      <x:c r="B20" s="15" t="str">
        <x:v>4.2</x:v>
      </x:c>
      <x:c r="C20" s="15" t="str">
        <x:v>Transactional CreateAppointment</x:v>
      </x:c>
      <x:c r="D20" s="15" t="str">
        <x:v>Verify ownership, allocate both resources and persist atomically.</x:v>
      </x:c>
      <x:c r="E20" s="15" t="str">
        <x:v>Core</x:v>
      </x:c>
      <x:c r="F20" s="18" t="n">
        <x:v>1.25</x:v>
      </x:c>
      <x:c r="G20" s="15" t="str">
        <x:v>Must</x:v>
      </x:c>
      <x:c r="H20" s="15" t="str">
        <x:v>Not Started</x:v>
      </x:c>
      <x:c r="I20" s="15" t="str">
        <x:v>TASK-018</x:v>
      </x:c>
      <x:c r="J20" s="15" t="str">
        <x:v>Successful booking returns 201 and stores all associations.</x:v>
      </x:c>
    </x:row>
    <x:row r="21" ht="15" hidden="0" customHeight="1">
      <x:c r="A21" s="15" t="str">
        <x:v>TASK-020</x:v>
      </x:c>
      <x:c r="B21" s="15" t="str">
        <x:v>4.3</x:v>
      </x:c>
      <x:c r="C21" s="15" t="str">
        <x:v>Concurrency locking strategy</x:v>
      </x:c>
      <x:c r="D21" s="15" t="str">
        <x:v>Lock resources in deterministic order and recheck overlaps inside transaction.</x:v>
      </x:c>
      <x:c r="E21" s="15" t="str">
        <x:v>Reliability</x:v>
      </x:c>
      <x:c r="F21" s="18" t="n">
        <x:v>1</x:v>
      </x:c>
      <x:c r="G21" s="15" t="str">
        <x:v>Must</x:v>
      </x:c>
      <x:c r="H21" s="15" t="str">
        <x:v>Not Started</x:v>
      </x:c>
      <x:c r="I21" s="15" t="str">
        <x:v>TASK-019</x:v>
      </x:c>
      <x:c r="J21" s="15" t="str">
        <x:v>Competing requests cannot both reserve the same resource.</x:v>
      </x:c>
    </x:row>
    <x:row r="22" ht="21.600000381469727" hidden="0" customHeight="1">
      <x:c r="A22" s="15" t="str">
        <x:v>TASK-021</x:v>
      </x:c>
      <x:c r="B22" s="15" t="str">
        <x:v>4.4</x:v>
      </x:c>
      <x:c r="C22" s="15" t="str">
        <x:v>Common API response and exception mapping</x:v>
      </x:c>
      <x:c r="D22" s="15" t="str">
        <x:v>Implement ApiResponse, ErrorCode, DomainException and global rendering.</x:v>
      </x:c>
      <x:c r="E22" s="15" t="str">
        <x:v>Core</x:v>
      </x:c>
      <x:c r="F22" s="18" t="n">
        <x:v>0.5</x:v>
      </x:c>
      <x:c r="G22" s="15" t="str">
        <x:v>Must</x:v>
      </x:c>
      <x:c r="H22" s="15" t="str">
        <x:v>Not Started</x:v>
      </x:c>
      <x:c r="I22" s="15" t="str">
        <x:v>TASK-019</x:v>
      </x:c>
      <x:c r="J22" s="15" t="str">
        <x:v>409/422/404/500 responses use one stable envelope.</x:v>
      </x:c>
    </x:row>
    <x:row r="23" ht="15" hidden="0" customHeight="1">
      <x:c r="A23" s="15" t="str">
        <x:v>TASK-022</x:v>
      </x:c>
      <x:c r="B23" s="15" t="str">
        <x:v>4.5</x:v>
      </x:c>
      <x:c r="C23" s="15" t="str">
        <x:v>Appointment detail endpoint</x:v>
      </x:c>
      <x:c r="D23" s="15" t="str">
        <x:v>Return persisted appointment through an API Resource.</x:v>
      </x:c>
      <x:c r="E23" s="15" t="str">
        <x:v>Core</x:v>
      </x:c>
      <x:c r="F23" s="18" t="n">
        <x:v>0.75</x:v>
      </x:c>
      <x:c r="G23" s="15" t="str">
        <x:v>Should</x:v>
      </x:c>
      <x:c r="H23" s="15" t="str">
        <x:v>Not Started</x:v>
      </x:c>
      <x:c r="I23" s="15" t="str">
        <x:v>TASK-021</x:v>
      </x:c>
      <x:c r="J23" s="15" t="str">
        <x:v>GET returns documented associations and timestamps.</x:v>
      </x:c>
    </x:row>
    <x:row r="24" ht="15" hidden="0" customHeight="1">
      <x:c r="A24" s="15" t="str">
        <x:v>TASK-023</x:v>
      </x:c>
      <x:c r="B24" s="15" t="str">
        <x:v>5.1</x:v>
      </x:c>
      <x:c r="C24" s="15" t="str">
        <x:v>Idempotency-Key support</x:v>
      </x:c>
      <x:c r="D24" s="15" t="str">
        <x:v>Persist key, request hash and replayable result for POST retries.</x:v>
      </x:c>
      <x:c r="E24" s="15" t="str">
        <x:v>Reliability</x:v>
      </x:c>
      <x:c r="F24" s="18" t="n">
        <x:v>1.5</x:v>
      </x:c>
      <x:c r="G24" s="15" t="str">
        <x:v>Should</x:v>
      </x:c>
      <x:c r="H24" s="15" t="str">
        <x:v>Not Started</x:v>
      </x:c>
      <x:c r="I24" s="15" t="str">
        <x:v>TASK-020</x:v>
      </x:c>
      <x:c r="J24" s="15" t="str">
        <x:v>Same key/payload does not create another row; changed payload returns 409.</x:v>
      </x:c>
    </x:row>
    <x:row r="25" ht="15" hidden="0" customHeight="1">
      <x:c r="A25" s="15" t="str">
        <x:v>TASK-024</x:v>
      </x:c>
      <x:c r="B25" s="15" t="str">
        <x:v>5.2</x:v>
      </x:c>
      <x:c r="C25" s="15" t="str">
        <x:v>Dealership business-hours rule</x:v>
      </x:c>
      <x:c r="D25" s="15" t="str">
        <x:v>Validate complete local appointment period against opening hours.</x:v>
      </x:c>
      <x:c r="E25" s="15" t="str">
        <x:v>Reliability</x:v>
      </x:c>
      <x:c r="F25" s="18" t="n">
        <x:v>0.75</x:v>
      </x:c>
      <x:c r="G25" s="15" t="str">
        <x:v>Should</x:v>
      </x:c>
      <x:c r="H25" s="15" t="str">
        <x:v>Not Started</x:v>
      </x:c>
      <x:c r="I25" s="15" t="str">
        <x:v>TASK-019</x:v>
      </x:c>
      <x:c r="J25" s="15" t="str">
        <x:v>Outside-hours appointment is rejected with a stable code.</x:v>
      </x:c>
    </x:row>
    <x:row r="26" ht="15" hidden="0" customHeight="1">
      <x:c r="A26" s="15" t="str">
        <x:v>TASK-025</x:v>
      </x:c>
      <x:c r="B26" s="15" t="str">
        <x:v>5.3</x:v>
      </x:c>
      <x:c r="C26" s="15" t="str">
        <x:v>Request ID middleware</x:v>
      </x:c>
      <x:c r="D26" s="15" t="str">
        <x:v>Create/propagate X-Request-ID and add it to log context and response.</x:v>
      </x:c>
      <x:c r="E26" s="15" t="str">
        <x:v>Observability</x:v>
      </x:c>
      <x:c r="F26" s="18" t="n">
        <x:v>0.5</x:v>
      </x:c>
      <x:c r="G26" s="15" t="str">
        <x:v>Should</x:v>
      </x:c>
      <x:c r="H26" s="15" t="str">
        <x:v>Not Started</x:v>
      </x:c>
      <x:c r="I26" s="15" t="str">
        <x:v>TASK-021</x:v>
      </x:c>
      <x:c r="J26" s="15" t="str">
        <x:v>One request ID correlates response and all server logs.</x:v>
      </x:c>
    </x:row>
    <x:row r="27" ht="15" hidden="0" customHeight="1">
      <x:c r="A27" s="15" t="str">
        <x:v>TASK-026</x:v>
      </x:c>
      <x:c r="B27" s="15" t="str">
        <x:v>5.4</x:v>
      </x:c>
      <x:c r="C27" s="15" t="str">
        <x:v>Structured event logging</x:v>
      </x:c>
      <x:c r="D27" s="15" t="str">
        <x:v>Log requested, confirmed and rejected events without unnecessary PII.</x:v>
      </x:c>
      <x:c r="E27" s="15" t="str">
        <x:v>Observability</x:v>
      </x:c>
      <x:c r="F27" s="18" t="n">
        <x:v>0.5</x:v>
      </x:c>
      <x:c r="G27" s="15" t="str">
        <x:v>Should</x:v>
      </x:c>
      <x:c r="H27" s="15" t="str">
        <x:v>Not Started</x:v>
      </x:c>
      <x:c r="I27" s="15" t="str">
        <x:v>TASK-025</x:v>
      </x:c>
      <x:c r="J27" s="15" t="str">
        <x:v>Logs contain event, request_id, IDs, latency and safe reason.</x:v>
      </x:c>
    </x:row>
    <x:row r="28" ht="15" hidden="0" customHeight="1">
      <x:c r="A28" s="15" t="str">
        <x:v>TASK-027</x:v>
      </x:c>
      <x:c r="B28" s="15" t="str">
        <x:v>5.5</x:v>
      </x:c>
      <x:c r="C28" s="15" t="str">
        <x:v>Metrics and tracing design</x:v>
      </x:c>
      <x:c r="D28" s="15" t="str">
        <x:v>Document counters, latency metrics and OpenTelemetry evolution.</x:v>
      </x:c>
      <x:c r="E28" s="15" t="str">
        <x:v>Observability</x:v>
      </x:c>
      <x:c r="F28" s="18" t="n">
        <x:v>0.25</x:v>
      </x:c>
      <x:c r="G28" s="15" t="str">
        <x:v>Could</x:v>
      </x:c>
      <x:c r="H28" s="15" t="str">
        <x:v>Not Started</x:v>
      </x:c>
      <x:c r="I28" s="15" t="str">
        <x:v>TASK-026</x:v>
      </x:c>
      <x:c r="J28" s="15" t="str">
        <x:v>System Design accurately distinguishes implemented vs future signals.</x:v>
      </x:c>
    </x:row>
    <x:row r="29" ht="15" hidden="0" customHeight="1">
      <x:c r="A29" s="15" t="str">
        <x:v>TASK-028</x:v>
      </x:c>
      <x:c r="B29" s="15" t="str">
        <x:v>5.6</x:v>
      </x:c>
      <x:c r="C29" s="15" t="str">
        <x:v>Cancellation endpoint</x:v>
      </x:c>
      <x:c r="D29" s="15" t="str">
        <x:v>Optionally change confirmed to cancelled and release resources.</x:v>
      </x:c>
      <x:c r="E29" s="15" t="str">
        <x:v>Core</x:v>
      </x:c>
      <x:c r="F29" s="18" t="n">
        <x:v>0.5</x:v>
      </x:c>
      <x:c r="G29" s="15" t="str">
        <x:v>Could</x:v>
      </x:c>
      <x:c r="H29" s="15" t="str">
        <x:v>Not Started</x:v>
      </x:c>
      <x:c r="I29" s="15" t="str">
        <x:v>TASK-023</x:v>
      </x:c>
      <x:c r="J29" s="15" t="str">
        <x:v>Cancelled appointments no longer block availability.</x:v>
      </x:c>
    </x:row>
    <x:row r="30" ht="15" hidden="0" customHeight="1">
      <x:c r="A30" s="15" t="str">
        <x:v>TASK-029</x:v>
      </x:c>
      <x:c r="B30" s="15" t="str">
        <x:v>6.1</x:v>
      </x:c>
      <x:c r="C30" s="15" t="str">
        <x:v>Availability feature tests</x:v>
      </x:c>
      <x:c r="D30" s="15" t="str">
        <x:v>Test resource pair availability and rejection cases.</x:v>
      </x:c>
      <x:c r="E30" s="15" t="str">
        <x:v>Testing</x:v>
      </x:c>
      <x:c r="F30" s="18" t="n">
        <x:v>0.75</x:v>
      </x:c>
      <x:c r="G30" s="15" t="str">
        <x:v>Must</x:v>
      </x:c>
      <x:c r="H30" s="15" t="str">
        <x:v>Not Started</x:v>
      </x:c>
      <x:c r="I30" s="15" t="str">
        <x:v>TASK-017</x:v>
      </x:c>
      <x:c r="J30" s="15" t="str">
        <x:v>Core availability branches have database-backed tests.</x:v>
      </x:c>
    </x:row>
    <x:row r="31" ht="15" hidden="0" customHeight="1">
      <x:c r="A31" s="15" t="str">
        <x:v>TASK-030</x:v>
      </x:c>
      <x:c r="B31" s="15" t="str">
        <x:v>6.2</x:v>
      </x:c>
      <x:c r="C31" s="15" t="str">
        <x:v>Appointment feature tests</x:v>
      </x:c>
      <x:c r="D31" s="15" t="str">
        <x:v>Test success, ownership, resource conflicts, rollback and boundaries.</x:v>
      </x:c>
      <x:c r="E31" s="15" t="str">
        <x:v>Testing</x:v>
      </x:c>
      <x:c r="F31" s="18" t="n">
        <x:v>1</x:v>
      </x:c>
      <x:c r="G31" s="15" t="str">
        <x:v>Must</x:v>
      </x:c>
      <x:c r="H31" s="15" t="str">
        <x:v>Not Started</x:v>
      </x:c>
      <x:c r="I31" s="15" t="str">
        <x:v>TASK-021</x:v>
      </x:c>
      <x:c r="J31" s="15" t="str">
        <x:v>Acceptance criteria have response and database assertions.</x:v>
      </x:c>
    </x:row>
    <x:row r="32" ht="15" hidden="0" customHeight="1">
      <x:c r="A32" s="15" t="str">
        <x:v>TASK-031</x:v>
      </x:c>
      <x:c r="B32" s="15" t="str">
        <x:v>6.3</x:v>
      </x:c>
      <x:c r="C32" s="15" t="str">
        <x:v>Idempotency tests</x:v>
      </x:c>
      <x:c r="D32" s="15" t="str">
        <x:v>Test replay and key/payload conflict.</x:v>
      </x:c>
      <x:c r="E32" s="15" t="str">
        <x:v>Testing</x:v>
      </x:c>
      <x:c r="F32" s="18" t="n">
        <x:v>0.5</x:v>
      </x:c>
      <x:c r="G32" s="15" t="str">
        <x:v>Should</x:v>
      </x:c>
      <x:c r="H32" s="15" t="str">
        <x:v>Not Started</x:v>
      </x:c>
      <x:c r="I32" s="15" t="str">
        <x:v>TASK-023</x:v>
      </x:c>
      <x:c r="J32" s="15" t="str">
        <x:v>Duplicate retry behavior is deterministic.</x:v>
      </x:c>
    </x:row>
    <x:row r="33" ht="15" hidden="0" customHeight="1">
      <x:c r="A33" s="15" t="str">
        <x:v>TASK-032</x:v>
      </x:c>
      <x:c r="B33" s="15" t="str">
        <x:v>6.4</x:v>
      </x:c>
      <x:c r="C33" s="15" t="str">
        <x:v>Concurrency verification</x:v>
      </x:c>
      <x:c r="D33" s="15" t="str">
        <x:v>Run or document a reproducible competing-request integration test.</x:v>
      </x:c>
      <x:c r="E33" s="15" t="str">
        <x:v>Testing</x:v>
      </x:c>
      <x:c r="F33" s="18" t="n">
        <x:v>0.75</x:v>
      </x:c>
      <x:c r="G33" s="15" t="str">
        <x:v>Must</x:v>
      </x:c>
      <x:c r="H33" s="15" t="str">
        <x:v>Not Started</x:v>
      </x:c>
      <x:c r="I33" s="15" t="str">
        <x:v>TASK-020</x:v>
      </x:c>
      <x:c r="J33" s="15" t="str">
        <x:v>Evidence supports the concurrency-safety claim; limitations are explicit.</x:v>
      </x:c>
    </x:row>
    <x:row r="34" ht="15" hidden="0" customHeight="1">
      <x:c r="A34" s="15" t="str">
        <x:v>TASK-033</x:v>
      </x:c>
      <x:c r="B34" s="15" t="str">
        <x:v>6.5</x:v>
      </x:c>
      <x:c r="C34" s="15" t="str">
        <x:v>OpenAPI and cURL harness</x:v>
      </x:c>
      <x:c r="D34" s="15" t="str">
        <x:v>Document executable happy and failure flows.</x:v>
      </x:c>
      <x:c r="E34" s="15" t="str">
        <x:v>Documentation</x:v>
      </x:c>
      <x:c r="F34" s="18" t="n">
        <x:v>0.5</x:v>
      </x:c>
      <x:c r="G34" s="15" t="str">
        <x:v>Must</x:v>
      </x:c>
      <x:c r="H34" s="15" t="str">
        <x:v>Not Started</x:v>
      </x:c>
      <x:c r="I34" s="15" t="str">
        <x:v>TASK-021</x:v>
      </x:c>
      <x:c r="J34" s="15" t="str">
        <x:v>Reviewer can test without a frontend.</x:v>
      </x:c>
    </x:row>
    <x:row r="35" ht="15" hidden="0" customHeight="1">
      <x:c r="A35" s="15" t="str">
        <x:v>TASK-034</x:v>
      </x:c>
      <x:c r="B35" s="15" t="str">
        <x:v>6.6</x:v>
      </x:c>
      <x:c r="C35" s="15" t="str">
        <x:v>CI workflow</x:v>
      </x:c>
      <x:c r="D35" s="15" t="str">
        <x:v>Run dependency validation, formatting and tests with PostgreSQL.</x:v>
      </x:c>
      <x:c r="E35" s="15" t="str">
        <x:v>Setup</x:v>
      </x:c>
      <x:c r="F35" s="18" t="n">
        <x:v>0.5</x:v>
      </x:c>
      <x:c r="G35" s="15" t="str">
        <x:v>Should</x:v>
      </x:c>
      <x:c r="H35" s="15" t="str">
        <x:v>Not Started</x:v>
      </x:c>
      <x:c r="I35" s="15" t="str">
        <x:v>TASK-030</x:v>
      </x:c>
      <x:c r="J35" s="15" t="str">
        <x:v>Pipeline is green on a clean checkout.</x:v>
      </x:c>
    </x:row>
    <x:row r="36" ht="15" hidden="0" customHeight="1">
      <x:c r="A36" s="15" t="str">
        <x:v>TASK-035</x:v>
      </x:c>
      <x:c r="B36" s="15" t="str">
        <x:v>7.1</x:v>
      </x:c>
      <x:c r="C36" s="15" t="str">
        <x:v>Finalize System Design</x:v>
      </x:c>
      <x:c r="D36" s="15" t="str">
        <x:v>Synchronize diagrams, flows, decisions and limitations with code.</x:v>
      </x:c>
      <x:c r="E36" s="15" t="str">
        <x:v>Documentation</x:v>
      </x:c>
      <x:c r="F36" s="18" t="n">
        <x:v>1</x:v>
      </x:c>
      <x:c r="G36" s="15" t="str">
        <x:v>Must</x:v>
      </x:c>
      <x:c r="H36" s="15" t="str">
        <x:v>Not Started</x:v>
      </x:c>
      <x:c r="I36" s="15" t="str">
        <x:v>TASK-032,TASK-034</x:v>
      </x:c>
      <x:c r="J36" s="15" t="str">
        <x:v>All requested design sections are present and truthful.</x:v>
      </x:c>
    </x:row>
    <x:row r="37" ht="15" hidden="0" customHeight="1">
      <x:c r="A37" s="15" t="str">
        <x:v>TASK-036</x:v>
      </x:c>
      <x:c r="B37" s="15" t="str">
        <x:v>7.2</x:v>
      </x:c>
      <x:c r="C37" s="15" t="str">
        <x:v>Complete README</x:v>
      </x:c>
      <x:c r="D37" s="15" t="str">
        <x:v>Provide build, run, test, cURL and troubleshooting instructions.</x:v>
      </x:c>
      <x:c r="E37" s="15" t="str">
        <x:v>Documentation</x:v>
      </x:c>
      <x:c r="F37" s="18" t="n">
        <x:v>0.75</x:v>
      </x:c>
      <x:c r="G37" s="15" t="str">
        <x:v>Must</x:v>
      </x:c>
      <x:c r="H37" s="15" t="str">
        <x:v>Not Started</x:v>
      </x:c>
      <x:c r="I37" s="15" t="str">
        <x:v>TASK-033</x:v>
      </x:c>
      <x:c r="J37" s="15" t="str">
        <x:v>A new reviewer can run the application from README alone.</x:v>
      </x:c>
    </x:row>
    <x:row r="38" ht="15" hidden="0" customHeight="1">
      <x:c r="A38" s="15" t="str">
        <x:v>TASK-037</x:v>
      </x:c>
      <x:c r="B38" s="15" t="str">
        <x:v>7.3</x:v>
      </x:c>
      <x:c r="C38" s="15" t="str">
        <x:v>AI Collaboration Narrative</x:v>
      </x:c>
      <x:c r="D38" s="15" t="str">
        <x:v>Describe guidance, verification, refinement and ownership with examples.</x:v>
      </x:c>
      <x:c r="E38" s="15" t="str">
        <x:v>Documentation</x:v>
      </x:c>
      <x:c r="F38" s="18" t="n">
        <x:v>0.5</x:v>
      </x:c>
      <x:c r="G38" s="15" t="str">
        <x:v>Must</x:v>
      </x:c>
      <x:c r="H38" s="15" t="str">
        <x:v>Not Started</x:v>
      </x:c>
      <x:c r="I38" s="15" t="str">
        <x:v>TASK-035</x:v>
      </x:c>
      <x:c r="J38" s="15" t="str">
        <x:v>Narrative includes concrete AI proposal and human verification examples.</x:v>
      </x:c>
    </x:row>
    <x:row r="39" ht="15" hidden="0" customHeight="1">
      <x:c r="A39" s="15" t="str">
        <x:v>TASK-038</x:v>
      </x:c>
      <x:c r="B39" s="15" t="str">
        <x:v>7.4</x:v>
      </x:c>
      <x:c r="C39" s="15" t="str">
        <x:v>Fresh-install verification</x:v>
      </x:c>
      <x:c r="D39" s="15" t="str">
        <x:v>Rebuild database, seed, test and run cURL from a clean environment.</x:v>
      </x:c>
      <x:c r="E39" s="15" t="str">
        <x:v>Submission</x:v>
      </x:c>
      <x:c r="F39" s="18" t="n">
        <x:v>0.5</x:v>
      </x:c>
      <x:c r="G39" s="15" t="str">
        <x:v>Must</x:v>
      </x:c>
      <x:c r="H39" s="15" t="str">
        <x:v>Not Started</x:v>
      </x:c>
      <x:c r="I39" s="15" t="str">
        <x:v>TASK-036</x:v>
      </x:c>
      <x:c r="J39" s="15" t="str">
        <x:v>No uncommitted dependency or undocumented step is required.</x:v>
      </x:c>
    </x:row>
    <x:row r="40" ht="15" hidden="0" customHeight="1">
      <x:c r="A40" s="15" t="str">
        <x:v>TASK-039</x:v>
      </x:c>
      <x:c r="B40" s="15" t="str">
        <x:v>7.5</x:v>
      </x:c>
      <x:c r="C40" s="15" t="str">
        <x:v>Video script</x:v>
      </x:c>
      <x:c r="D40" s="15" t="str">
        <x:v>Prepare an 8-minute structure aligned with evaluation dimensions.</x:v>
      </x:c>
      <x:c r="E40" s="15" t="str">
        <x:v>Submission</x:v>
      </x:c>
      <x:c r="F40" s="18" t="n">
        <x:v>0.5</x:v>
      </x:c>
      <x:c r="G40" s="15" t="str">
        <x:v>Must</x:v>
      </x:c>
      <x:c r="H40" s="15" t="str">
        <x:v>Not Started</x:v>
      </x:c>
      <x:c r="I40" s="15" t="str">
        <x:v>TASK-035,TASK-037</x:v>
      </x:c>
      <x:c r="J40" s="15" t="str">
        <x:v>Script covers intro, design, implementation, AI, demo and learning.</x:v>
      </x:c>
    </x:row>
    <x:row r="41" ht="15" hidden="0" customHeight="1">
      <x:c r="A41" s="16" t="str">
        <x:v>TASK-040</x:v>
      </x:c>
      <x:c r="B41" s="16" t="str">
        <x:v>7.6</x:v>
      </x:c>
      <x:c r="C41" s="16" t="str">
        <x:v>Record and review video</x:v>
      </x:c>
      <x:c r="D41" s="16" t="str">
        <x:v>Record 5-10 minute presentation and verify audio/demo readability.</x:v>
      </x:c>
      <x:c r="E41" s="16" t="str">
        <x:v>Submission</x:v>
      </x:c>
      <x:c r="F41" s="19" t="n">
        <x:v>0.75</x:v>
      </x:c>
      <x:c r="G41" s="16" t="str">
        <x:v>Must</x:v>
      </x:c>
      <x:c r="H41" s="16" t="str">
        <x:v>Not Started</x:v>
      </x:c>
      <x:c r="I41" s="16" t="str">
        <x:v>TASK-038,TASK-039</x:v>
      </x:c>
      <x:c r="J41" s="16" t="str">
        <x:v>Final video is within time and all demo steps succeed.</x:v>
      </x:c>
    </x:row>
  </x:sheetData>
  <x:conditionalFormatting sqref="H2:H41">
    <x:cfRule type="containsText" dxfId="0" priority="1" operator="containsText" text="Done"/>
    <x:cfRule type="containsText" dxfId="1" priority="2" operator="containsText" text="Blocked"/>
    <x:cfRule type="containsText" dxfId="2" priority="3" operator="containsText" text="In Progress"/>
  </x:conditionalFormatting>
  <x:dataValidations count="2">
    <x:dataValidation type="list" sqref="G2:G41">
      <x:formula1>"Must,Should,Could"</x:formula1>
    </x:dataValidation>
    <x:dataValidation type="list" sqref="H2:H41">
      <x:formula1>"Not Started,In Progress,Blocked,Done"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24" hidden="0" customWidth="1"/>
    <x:col min="4" max="4" width="9" hidden="0" customWidth="1"/>
    <x:col min="5" max="5" width="55" hidden="0" customWidth="1"/>
  </x:cols>
  <x:sheetData>
    <x:row r="1" ht="15" hidden="0" customHeight="1">
      <x:c r="A1" s="6" t="str">
        <x:v>Day</x:v>
      </x:c>
      <x:c r="B1" s="6" t="str">
        <x:v>Focus</x:v>
      </x:c>
      <x:c r="C1" s="6" t="str">
        <x:v>Tasks</x:v>
      </x:c>
      <x:c r="D1" s="6" t="str">
        <x:v>Hours</x:v>
      </x:c>
      <x:c r="E1" s="6" t="str">
        <x:v>Exit Criterion</x:v>
      </x:c>
    </x:row>
    <x:row r="2" ht="15" hidden="0" customHeight="1">
      <x:c r="A2" s="14" t="n">
        <x:v>1</x:v>
      </x:c>
      <x:c r="B2" s="14" t="str">
        <x:v>Requirements &amp; System Design</x:v>
      </x:c>
      <x:c r="C2" s="14" t="str">
        <x:v>TASK-001 to TASK-007</x:v>
      </x:c>
      <x:c r="D2" s="14" t="n">
        <x:v>4</x:v>
      </x:c>
      <x:c r="E2" s="14" t="str">
        <x:v>Requirement baseline and architecture</x:v>
      </x:c>
    </x:row>
    <x:row r="3" ht="15" hidden="0" customHeight="1">
      <x:c r="A3" s="15" t="n">
        <x:v>2</x:v>
      </x:c>
      <x:c r="B3" s="15" t="str">
        <x:v>Setup &amp; Persistence</x:v>
      </x:c>
      <x:c r="C3" s="15" t="str">
        <x:v>TASK-008 to TASK-012</x:v>
      </x:c>
      <x:c r="D3" s="15" t="n">
        <x:v>4</x:v>
      </x:c>
      <x:c r="E3" s="15" t="str">
        <x:v>Running seeded Laravel/PostgreSQL environment</x:v>
      </x:c>
    </x:row>
    <x:row r="4" ht="15" hidden="0" customHeight="1">
      <x:c r="A4" s="15" t="n">
        <x:v>3</x:v>
      </x:c>
      <x:c r="B4" s="15" t="str">
        <x:v>Availability Core</x:v>
      </x:c>
      <x:c r="C4" s="15" t="str">
        <x:v>TASK-013 to TASK-017</x:v>
      </x:c>
      <x:c r="D4" s="15" t="n">
        <x:v>4</x:v>
      </x:c>
      <x:c r="E4" s="15" t="str">
        <x:v>Availability endpoint</x:v>
      </x:c>
    </x:row>
    <x:row r="5" ht="15" hidden="0" customHeight="1">
      <x:c r="A5" s="15" t="n">
        <x:v>4</x:v>
      </x:c>
      <x:c r="B5" s="15" t="str">
        <x:v>Appointment &amp; Concurrency</x:v>
      </x:c>
      <x:c r="C5" s="15" t="str">
        <x:v>TASK-018 to TASK-022</x:v>
      </x:c>
      <x:c r="D5" s="15" t="n">
        <x:v>4</x:v>
      </x:c>
      <x:c r="E5" s="15" t="str">
        <x:v>Atomic booking and common errors</x:v>
      </x:c>
    </x:row>
    <x:row r="6" ht="15" hidden="0" customHeight="1">
      <x:c r="A6" s="15" t="n">
        <x:v>5</x:v>
      </x:c>
      <x:c r="B6" s="15" t="str">
        <x:v>Reliability &amp; Observability</x:v>
      </x:c>
      <x:c r="C6" s="15" t="str">
        <x:v>TASK-023 to TASK-028</x:v>
      </x:c>
      <x:c r="D6" s="15" t="n">
        <x:v>4</x:v>
      </x:c>
      <x:c r="E6" s="15" t="str">
        <x:v>Idempotency, hours and logs</x:v>
      </x:c>
    </x:row>
    <x:row r="7" ht="15" hidden="0" customHeight="1">
      <x:c r="A7" s="15" t="n">
        <x:v>6</x:v>
      </x:c>
      <x:c r="B7" s="15" t="str">
        <x:v>Testing, API Contract &amp; CI</x:v>
      </x:c>
      <x:c r="C7" s="15" t="str">
        <x:v>TASK-029 to TASK-034</x:v>
      </x:c>
      <x:c r="D7" s="15" t="n">
        <x:v>4</x:v>
      </x:c>
      <x:c r="E7" s="15" t="str">
        <x:v>Green suite and OpenAPI/cURL</x:v>
      </x:c>
    </x:row>
    <x:row r="8" ht="15" hidden="0" customHeight="1">
      <x:c r="A8" s="16" t="n">
        <x:v>7</x:v>
      </x:c>
      <x:c r="B8" s="16" t="str">
        <x:v>Documentation &amp; Submission</x:v>
      </x:c>
      <x:c r="C8" s="16" t="str">
        <x:v>TASK-035 to TASK-040</x:v>
      </x:c>
      <x:c r="D8" s="16" t="n">
        <x:v>4</x:v>
      </x:c>
      <x:c r="E8" s="16" t="str">
        <x:v>Final docs, video and clean verification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0" hidden="0" customWidth="1"/>
    <x:col min="3" max="3" width="34" hidden="0" customWidth="1"/>
    <x:col min="4" max="4" width="28" hidden="0" customWidth="1"/>
    <x:col min="5" max="5" width="34" hidden="0" customWidth="1"/>
    <x:col min="6" max="6" width="14" hidden="0" customWidth="1"/>
  </x:cols>
  <x:sheetData>
    <x:row r="1" ht="15" hidden="0" customHeight="1">
      <x:c r="A1" s="6" t="str">
        <x:v>Req ID</x:v>
      </x:c>
      <x:c r="B1" s="6" t="str">
        <x:v>Requirement</x:v>
      </x:c>
      <x:c r="C1" s="6" t="str">
        <x:v>Design / Component</x:v>
      </x:c>
      <x:c r="D1" s="6" t="str">
        <x:v>Tasks</x:v>
      </x:c>
      <x:c r="E1" s="6" t="str">
        <x:v>Verification</x:v>
      </x:c>
      <x:c r="F1" s="6" t="str">
        <x:v>Status</x:v>
      </x:c>
    </x:row>
    <x:row r="2" ht="15" hidden="0" customHeight="1">
      <x:c r="A2" s="14" t="str">
        <x:v>AC-01</x:v>
      </x:c>
      <x:c r="B2" s="14" t="str">
        <x:v>Request appointment for vehicle, service type, dealership and desired time</x:v>
      </x:c>
      <x:c r="C2" s="14" t="str">
        <x:v>POST /api/v1/appointments</x:v>
      </x:c>
      <x:c r="D2" s="14" t="str">
        <x:v>TASK-018,TASK-019,TASK-030</x:v>
      </x:c>
      <x:c r="E2" s="14" t="str">
        <x:v>Feature: successful booking</x:v>
      </x:c>
      <x:c r="F2" s="14" t="str">
        <x:v>Planned</x:v>
      </x:c>
    </x:row>
    <x:row r="3" ht="21.600000381469727" hidden="0" customHeight="1">
      <x:c r="A3" s="15" t="str">
        <x:v>AC-02</x:v>
      </x:c>
      <x:c r="B3" s="15" t="str">
        <x:v>Check qualified technician and service bay for full duration</x:v>
      </x:c>
      <x:c r="C3" s="15" t="str">
        <x:v>TimeRange and availability queries</x:v>
      </x:c>
      <x:c r="D3" s="15" t="str">
        <x:v>TASK-013 to TASK-017,TASK-020,TASK-029,TASK-032</x:v>
      </x:c>
      <x:c r="E3" s="15" t="str">
        <x:v>Unit + feature + concurrency</x:v>
      </x:c>
      <x:c r="F3" s="15" t="str">
        <x:v>Planned</x:v>
      </x:c>
    </x:row>
    <x:row r="4" ht="15" hidden="0" customHeight="1">
      <x:c r="A4" s="15" t="str">
        <x:v>AC-03</x:v>
      </x:c>
      <x:c r="B4" s="15" t="str">
        <x:v>Persist appointment with customer, vehicle, technician and bay</x:v>
      </x:c>
      <x:c r="C4" s="15" t="str">
        <x:v>appointments table and resource</x:v>
      </x:c>
      <x:c r="D4" s="15" t="str">
        <x:v>TASK-010,TASK-019,TASK-022,TASK-030</x:v>
      </x:c>
      <x:c r="E4" s="15" t="str">
        <x:v>Database and response assertions</x:v>
      </x:c>
      <x:c r="F4" s="15" t="str">
        <x:v>Planned</x:v>
      </x:c>
    </x:row>
    <x:row r="5" ht="15" hidden="0" customHeight="1">
      <x:c r="A5" s="15" t="str">
        <x:v>BF-01</x:v>
      </x:c>
      <x:c r="B5" s="15" t="str">
        <x:v>Scalability and performance</x:v>
      </x:c>
      <x:c r="C5" s="15" t="str">
        <x:v>Indexes, bounded queries, modular monolith</x:v>
      </x:c>
      <x:c r="D5" s="15" t="str">
        <x:v>TASK-005,TASK-010,TASK-035</x:v>
      </x:c>
      <x:c r="E5" s="15" t="str">
        <x:v>Design review/query plan</x:v>
      </x:c>
      <x:c r="F5" s="15" t="str">
        <x:v>Planned</x:v>
      </x:c>
    </x:row>
    <x:row r="6" ht="15" hidden="0" customHeight="1">
      <x:c r="A6" s="15" t="str">
        <x:v>BF-02</x:v>
      </x:c>
      <x:c r="B6" s="15" t="str">
        <x:v>Reliability</x:v>
      </x:c>
      <x:c r="C6" s="15" t="str">
        <x:v>Transaction, locking, idempotency</x:v>
      </x:c>
      <x:c r="D6" s="15" t="str">
        <x:v>TASK-020,TASK-023,TASK-032</x:v>
      </x:c>
      <x:c r="E6" s="15" t="str">
        <x:v>Integration evidence</x:v>
      </x:c>
      <x:c r="F6" s="15" t="str">
        <x:v>Planned</x:v>
      </x:c>
    </x:row>
    <x:row r="7" ht="15" hidden="0" customHeight="1">
      <x:c r="A7" s="15" t="str">
        <x:v>BF-03</x:v>
      </x:c>
      <x:c r="B7" s="15" t="str">
        <x:v>Maintainability</x:v>
      </x:c>
      <x:c r="C7" s="15" t="str">
        <x:v>Action/Query/DTO/Value Object structure</x:v>
      </x:c>
      <x:c r="D7" s="15" t="str">
        <x:v>TASK-004,TASK-035</x:v>
      </x:c>
      <x:c r="E7" s="15" t="str">
        <x:v>Code review</x:v>
      </x:c>
      <x:c r="F7" s="15" t="str">
        <x:v>Planned</x:v>
      </x:c>
    </x:row>
    <x:row r="8" ht="15" hidden="0" customHeight="1">
      <x:c r="A8" s="16" t="str">
        <x:v>BF-04</x:v>
      </x:c>
      <x:c r="B8" s="16" t="str">
        <x:v>Observability</x:v>
      </x:c>
      <x:c r="C8" s="16" t="str">
        <x:v>Request ID, logging, metric plan</x:v>
      </x:c>
      <x:c r="D8" s="16" t="str">
        <x:v>TASK-025 to TASK-027</x:v>
      </x:c>
      <x:c r="E8" s="16" t="str">
        <x:v>Log assertions/design review</x:v>
      </x:c>
      <x:c r="F8" s="16" t="str">
        <x:v>Planned</x:v>
      </x:c>
    </x:row>
  </x:sheetData>
  <x:dataValidations count="1">
    <x:dataValidation type="list" sqref="F2:F8">
      <x:formula1>"Planned,Implemented,Verified"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52" hidden="0" customWidth="1"/>
    <x:col min="3" max="3" width="14" hidden="0" customWidth="1"/>
    <x:col min="4" max="4" width="22" hidden="0" customWidth="1"/>
    <x:col min="5" max="5" width="13" hidden="0" customWidth="1"/>
    <x:col min="6" max="6" width="12" hidden="0" customWidth="1"/>
    <x:col min="7" max="7" width="15" hidden="0" customWidth="1"/>
  </x:cols>
  <x:sheetData>
    <x:row r="1" ht="15" hidden="0" customHeight="1">
      <x:c r="A1" s="6" t="str">
        <x:v>Test ID</x:v>
      </x:c>
      <x:c r="B1" s="6" t="str">
        <x:v>Scenario</x:v>
      </x:c>
      <x:c r="C1" s="6" t="str">
        <x:v>Level</x:v>
      </x:c>
      <x:c r="D1" s="6" t="str">
        <x:v>Rule / Requirement</x:v>
      </x:c>
      <x:c r="E1" s="6" t="str">
        <x:v>Task</x:v>
      </x:c>
      <x:c r="F1" s="6" t="str">
        <x:v>Priority</x:v>
      </x:c>
      <x:c r="G1" s="6" t="str">
        <x:v>Status</x:v>
      </x:c>
    </x:row>
    <x:row r="2" ht="15" hidden="0" customHeight="1">
      <x:c r="A2" s="14" t="str">
        <x:v>UT-01</x:v>
      </x:c>
      <x:c r="B2" s="14" t="str">
        <x:v>TimeRange rejects end &lt;= start</x:v>
      </x:c>
      <x:c r="C2" s="14" t="str">
        <x:v>Unit</x:v>
      </x:c>
      <x:c r="D2" s="14" t="str">
        <x:v>INV-07</x:v>
      </x:c>
      <x:c r="E2" s="14" t="str">
        <x:v>TASK-013</x:v>
      </x:c>
      <x:c r="F2" s="14" t="str">
        <x:v>Must</x:v>
      </x:c>
      <x:c r="G2" s="14" t="str">
        <x:v>Not Started</x:v>
      </x:c>
    </x:row>
    <x:row r="3" ht="15" hidden="0" customHeight="1">
      <x:c r="A3" s="15" t="str">
        <x:v>UT-02</x:v>
      </x:c>
      <x:c r="B3" s="15" t="str">
        <x:v>Overlap: partial left/right</x:v>
      </x:c>
      <x:c r="C3" s="15" t="str">
        <x:v>Unit</x:v>
      </x:c>
      <x:c r="D3" s="15" t="str">
        <x:v>INV-05/06</x:v>
      </x:c>
      <x:c r="E3" s="15" t="str">
        <x:v>TASK-013</x:v>
      </x:c>
      <x:c r="F3" s="15" t="str">
        <x:v>Must</x:v>
      </x:c>
      <x:c r="G3" s="15" t="str">
        <x:v>Not Started</x:v>
      </x:c>
    </x:row>
    <x:row r="4" ht="15" hidden="0" customHeight="1">
      <x:c r="A4" s="15" t="str">
        <x:v>UT-03</x:v>
      </x:c>
      <x:c r="B4" s="15" t="str">
        <x:v>Back-to-back ranges do not overlap</x:v>
      </x:c>
      <x:c r="C4" s="15" t="str">
        <x:v>Unit</x:v>
      </x:c>
      <x:c r="D4" s="15" t="str">
        <x:v>AS-04</x:v>
      </x:c>
      <x:c r="E4" s="15" t="str">
        <x:v>TASK-013</x:v>
      </x:c>
      <x:c r="F4" s="15" t="str">
        <x:v>Must</x:v>
      </x:c>
      <x:c r="G4" s="15" t="str">
        <x:v>Not Started</x:v>
      </x:c>
    </x:row>
    <x:row r="5" ht="15" hidden="0" customHeight="1">
      <x:c r="A5" s="15" t="str">
        <x:v>FT-01</x:v>
      </x:c>
      <x:c r="B5" s="15" t="str">
        <x:v>Booking succeeds with both resources</x:v>
      </x:c>
      <x:c r="C5" s="15" t="str">
        <x:v>Feature</x:v>
      </x:c>
      <x:c r="D5" s="15" t="str">
        <x:v>AC-01/02/03</x:v>
      </x:c>
      <x:c r="E5" s="15" t="str">
        <x:v>TASK-030</x:v>
      </x:c>
      <x:c r="F5" s="15" t="str">
        <x:v>Must</x:v>
      </x:c>
      <x:c r="G5" s="15" t="str">
        <x:v>Not Started</x:v>
      </x:c>
    </x:row>
    <x:row r="6" ht="15" hidden="0" customHeight="1">
      <x:c r="A6" s="15" t="str">
        <x:v>FT-02</x:v>
      </x:c>
      <x:c r="B6" s="15" t="str">
        <x:v>All qualified technicians busy</x:v>
      </x:c>
      <x:c r="C6" s="15" t="str">
        <x:v>Feature</x:v>
      </x:c>
      <x:c r="D6" s="15" t="str">
        <x:v>INV-05</x:v>
      </x:c>
      <x:c r="E6" s="15" t="str">
        <x:v>TASK-029</x:v>
      </x:c>
      <x:c r="F6" s="15" t="str">
        <x:v>Must</x:v>
      </x:c>
      <x:c r="G6" s="15" t="str">
        <x:v>Not Started</x:v>
      </x:c>
    </x:row>
    <x:row r="7" ht="15" hidden="0" customHeight="1">
      <x:c r="A7" s="15" t="str">
        <x:v>FT-03</x:v>
      </x:c>
      <x:c r="B7" s="15" t="str">
        <x:v>All bays busy</x:v>
      </x:c>
      <x:c r="C7" s="15" t="str">
        <x:v>Feature</x:v>
      </x:c>
      <x:c r="D7" s="15" t="str">
        <x:v>INV-06</x:v>
      </x:c>
      <x:c r="E7" s="15" t="str">
        <x:v>TASK-029</x:v>
      </x:c>
      <x:c r="F7" s="15" t="str">
        <x:v>Must</x:v>
      </x:c>
      <x:c r="G7" s="15" t="str">
        <x:v>Not Started</x:v>
      </x:c>
    </x:row>
    <x:row r="8" ht="15" hidden="0" customHeight="1">
      <x:c r="A8" s="15" t="str">
        <x:v>FT-04</x:v>
      </x:c>
      <x:c r="B8" s="15" t="str">
        <x:v>Technician lacks requested skill</x:v>
      </x:c>
      <x:c r="C8" s="15" t="str">
        <x:v>Feature</x:v>
      </x:c>
      <x:c r="D8" s="15" t="str">
        <x:v>INV-03</x:v>
      </x:c>
      <x:c r="E8" s="15" t="str">
        <x:v>TASK-029</x:v>
      </x:c>
      <x:c r="F8" s="15" t="str">
        <x:v>Must</x:v>
      </x:c>
      <x:c r="G8" s="15" t="str">
        <x:v>Not Started</x:v>
      </x:c>
    </x:row>
    <x:row r="9" ht="15" hidden="0" customHeight="1">
      <x:c r="A9" s="15" t="str">
        <x:v>FT-05</x:v>
      </x:c>
      <x:c r="B9" s="15" t="str">
        <x:v>Resources belong to another dealership</x:v>
      </x:c>
      <x:c r="C9" s="15" t="str">
        <x:v>Feature</x:v>
      </x:c>
      <x:c r="D9" s="15" t="str">
        <x:v>INV-02</x:v>
      </x:c>
      <x:c r="E9" s="15" t="str">
        <x:v>TASK-029</x:v>
      </x:c>
      <x:c r="F9" s="15" t="str">
        <x:v>Must</x:v>
      </x:c>
      <x:c r="G9" s="15" t="str">
        <x:v>Not Started</x:v>
      </x:c>
    </x:row>
    <x:row r="10" ht="15" hidden="0" customHeight="1">
      <x:c r="A10" s="15" t="str">
        <x:v>FT-06</x:v>
      </x:c>
      <x:c r="B10" s="15" t="str">
        <x:v>Vehicle belongs to another customer</x:v>
      </x:c>
      <x:c r="C10" s="15" t="str">
        <x:v>Feature</x:v>
      </x:c>
      <x:c r="D10" s="15" t="str">
        <x:v>INV-01</x:v>
      </x:c>
      <x:c r="E10" s="15" t="str">
        <x:v>TASK-030</x:v>
      </x:c>
      <x:c r="F10" s="15" t="str">
        <x:v>Must</x:v>
      </x:c>
      <x:c r="G10" s="15" t="str">
        <x:v>Not Started</x:v>
      </x:c>
    </x:row>
    <x:row r="11" ht="15" hidden="0" customHeight="1">
      <x:c r="A11" s="15" t="str">
        <x:v>FT-07</x:v>
      </x:c>
      <x:c r="B11" s="15" t="str">
        <x:v>Failed allocation rolls back</x:v>
      </x:c>
      <x:c r="C11" s="15" t="str">
        <x:v>Feature</x:v>
      </x:c>
      <x:c r="D11" s="15" t="str">
        <x:v>INV-08/09</x:v>
      </x:c>
      <x:c r="E11" s="15" t="str">
        <x:v>TASK-030</x:v>
      </x:c>
      <x:c r="F11" s="15" t="str">
        <x:v>Must</x:v>
      </x:c>
      <x:c r="G11" s="15" t="str">
        <x:v>Not Started</x:v>
      </x:c>
    </x:row>
    <x:row r="12" ht="15" hidden="0" customHeight="1">
      <x:c r="A12" s="15" t="str">
        <x:v>IT-01</x:v>
      </x:c>
      <x:c r="B12" s="15" t="str">
        <x:v>Same idempotency key and payload replays result</x:v>
      </x:c>
      <x:c r="C12" s="15" t="str">
        <x:v>Integration</x:v>
      </x:c>
      <x:c r="D12" s="15" t="str">
        <x:v>INV-10</x:v>
      </x:c>
      <x:c r="E12" s="15" t="str">
        <x:v>TASK-031</x:v>
      </x:c>
      <x:c r="F12" s="15" t="str">
        <x:v>Should</x:v>
      </x:c>
      <x:c r="G12" s="15" t="str">
        <x:v>Not Started</x:v>
      </x:c>
    </x:row>
    <x:row r="13" ht="15" hidden="0" customHeight="1">
      <x:c r="A13" s="15" t="str">
        <x:v>IT-02</x:v>
      </x:c>
      <x:c r="B13" s="15" t="str">
        <x:v>Same key with different payload returns 409</x:v>
      </x:c>
      <x:c r="C13" s="15" t="str">
        <x:v>Integration</x:v>
      </x:c>
      <x:c r="D13" s="15" t="str">
        <x:v>INV-10</x:v>
      </x:c>
      <x:c r="E13" s="15" t="str">
        <x:v>TASK-031</x:v>
      </x:c>
      <x:c r="F13" s="15" t="str">
        <x:v>Should</x:v>
      </x:c>
      <x:c r="G13" s="15" t="str">
        <x:v>Not Started</x:v>
      </x:c>
    </x:row>
    <x:row r="14" ht="15" hidden="0" customHeight="1">
      <x:c r="A14" s="16" t="str">
        <x:v>IT-03</x:v>
      </x:c>
      <x:c r="B14" s="16" t="str">
        <x:v>Competing requests cannot double-book</x:v>
      </x:c>
      <x:c r="C14" s="16" t="str">
        <x:v>Integration</x:v>
      </x:c>
      <x:c r="D14" s="16" t="str">
        <x:v>INV-05/06</x:v>
      </x:c>
      <x:c r="E14" s="16" t="str">
        <x:v>TASK-032</x:v>
      </x:c>
      <x:c r="F14" s="16" t="str">
        <x:v>Must</x:v>
      </x:c>
      <x:c r="G14" s="16" t="str">
        <x:v>Not Started</x:v>
      </x:c>
    </x:row>
  </x:sheetData>
  <x:dataValidations count="1">
    <x:dataValidation type="list" sqref="G2:G14">
      <x:formula1>"Not Started,In Progress,Blocked,Done"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6" t="str">
        <x:v>Status</x:v>
      </x:c>
      <x:c r="B1" s="6" t="str">
        <x:v>Priority</x:v>
      </x:c>
      <x:c r="C1" s="6" t="str">
        <x:v>Category</x:v>
      </x:c>
    </x:row>
    <x:row r="2">
      <x:c r="A2" s="14" t="str">
        <x:v>Not Started</x:v>
      </x:c>
      <x:c r="B2" s="14" t="str">
        <x:v>Must</x:v>
      </x:c>
      <x:c r="C2" s="14" t="str">
        <x:v>Design</x:v>
      </x:c>
    </x:row>
    <x:row r="3">
      <x:c r="A3" s="15" t="str">
        <x:v>In Progress</x:v>
      </x:c>
      <x:c r="B3" s="15" t="str">
        <x:v>Should</x:v>
      </x:c>
      <x:c r="C3" s="15" t="str">
        <x:v>Setup</x:v>
      </x:c>
    </x:row>
    <x:row r="4">
      <x:c r="A4" s="15" t="str">
        <x:v>Blocked</x:v>
      </x:c>
      <x:c r="B4" s="15" t="str">
        <x:v>Could</x:v>
      </x:c>
      <x:c r="C4" s="15" t="str">
        <x:v>Core</x:v>
      </x:c>
    </x:row>
    <x:row r="5">
      <x:c r="A5" s="15" t="str">
        <x:v>Done</x:v>
      </x:c>
      <x:c r="B5" s="15" t="str"/>
      <x:c r="C5" s="15" t="str">
        <x:v>Reliability</x:v>
      </x:c>
    </x:row>
    <x:row r="6">
      <x:c r="A6" s="15"/>
      <x:c r="B6" s="15"/>
      <x:c r="C6" s="15" t="str">
        <x:v>Observability</x:v>
      </x:c>
    </x:row>
    <x:row r="7">
      <x:c r="A7" s="15"/>
      <x:c r="B7" s="15"/>
      <x:c r="C7" s="15" t="str">
        <x:v>Testing</x:v>
      </x:c>
    </x:row>
    <x:row r="8">
      <x:c r="A8" s="15"/>
      <x:c r="B8" s="15"/>
      <x:c r="C8" s="15" t="str">
        <x:v>Documentation</x:v>
      </x:c>
    </x:row>
    <x:row r="9">
      <x:c r="A9" s="16"/>
      <x:c r="B9" s="16"/>
      <x:c r="C9" s="16" t="str">
        <x:v>Submission</x:v>
      </x:c>
    </x:row>
  </x:sheetData>
  <x:pageMargins left="0.7" right="0.7" top="0.75" bottom="0.75" header="0.3" footer="0.3"/>
</x:worksheet>
</file>